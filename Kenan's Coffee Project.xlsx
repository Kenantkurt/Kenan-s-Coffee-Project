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antufankurt/Desktop/"/>
    </mc:Choice>
  </mc:AlternateContent>
  <xr:revisionPtr revIDLastSave="0" documentId="8_{0D42ED5B-9F38-234E-B502-74FFE90F1A34}" xr6:coauthVersionLast="47" xr6:coauthVersionMax="47" xr10:uidLastSave="{00000000-0000-0000-0000-000000000000}"/>
  <bookViews>
    <workbookView xWindow="0" yWindow="760" windowWidth="34200" windowHeight="21380" xr2:uid="{58717E09-DC4A-1443-8C2C-BDA535AF0F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4" i="1" s="1"/>
  <c r="L4" i="1" s="1"/>
  <c r="G15" i="1"/>
  <c r="H15" i="1"/>
  <c r="I15" i="1"/>
  <c r="F15" i="1"/>
  <c r="G14" i="1"/>
  <c r="H14" i="1"/>
  <c r="I14" i="1"/>
  <c r="F14" i="1"/>
  <c r="G13" i="1"/>
  <c r="H13" i="1"/>
  <c r="I13" i="1"/>
  <c r="F13" i="1"/>
  <c r="G12" i="1"/>
  <c r="H12" i="1"/>
  <c r="I12" i="1"/>
  <c r="F12" i="1"/>
  <c r="K8" i="1"/>
  <c r="L8" i="1" s="1"/>
  <c r="J5" i="1"/>
  <c r="K5" i="1" s="1"/>
  <c r="L5" i="1" s="1"/>
  <c r="J6" i="1"/>
  <c r="K6" i="1" s="1"/>
  <c r="L6" i="1" s="1"/>
  <c r="J7" i="1"/>
  <c r="K7" i="1" s="1"/>
  <c r="L7" i="1" s="1"/>
  <c r="J8" i="1"/>
  <c r="J9" i="1"/>
  <c r="K9" i="1" s="1"/>
  <c r="L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tc={09978D31-963A-0A4A-B9AB-EF6FAA3A92B6}</author>
    <author>tc={BC7207E8-0A04-5140-B3E9-C7D4BB155FE2}</author>
    <author>tc={7930A29B-796E-2245-96BD-CD156D8F96CC}</author>
    <author>tc={66C562E2-9FF5-D64B-8A56-367B70C0CF18}</author>
    <author>tc={E53BD33A-D26D-F74B-A155-B15205A2B826}</author>
    <author>tc={9688CCE0-91D6-C24E-86C7-7D19B30C6A04}</author>
    <author>tc={BD620052-A542-C54C-BAED-EC27D54FD712}</author>
  </authors>
  <commentList>
    <comment ref="D1" authorId="0" shapeId="0" xr:uid="{09978D31-963A-0A4A-B9AB-EF6FAA3A92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created Kenan's Coffee </t>
      </text>
    </comment>
    <comment ref="L1" authorId="1" shapeId="0" xr:uid="{BC7207E8-0A04-5140-B3E9-C7D4BB155FE2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a tax rate as 7.25$</t>
      </text>
    </comment>
    <comment ref="D3" authorId="2" shapeId="0" xr:uid="{7930A29B-796E-2245-96BD-CD156D8F96CC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some products</t>
      </text>
    </comment>
    <comment ref="E3" authorId="3" shapeId="0" xr:uid="{66C562E2-9FF5-D64B-8A56-367B70C0CF18}">
      <text>
        <t>[Threaded comment]
Your version of Excel allows you to read this threaded comment; however, any edits to it will get removed if the file is opened in a newer version of Excel. Learn more: https://go.microsoft.com/fwlink/?linkid=870924
Comment:
    I set prices for products</t>
      </text>
    </comment>
    <comment ref="J3" authorId="4" shapeId="0" xr:uid="{E53BD33A-D26D-F74B-A155-B15205A2B826}">
      <text>
        <t>[Threaded comment]
Your version of Excel allows you to read this threaded comment; however, any edits to it will get removed if the file is opened in a newer version of Excel. Learn more: https://go.microsoft.com/fwlink/?linkid=870924
Comment:
    I calculated total item sold by using formula</t>
      </text>
    </comment>
    <comment ref="L3" authorId="5" shapeId="0" xr:uid="{9688CCE0-91D6-C24E-86C7-7D19B30C6A04}">
      <text>
        <t>[Threaded comment]
Your version of Excel allows you to read this threaded comment; however, any edits to it will get removed if the file is opened in a newer version of Excel. Learn more: https://go.microsoft.com/fwlink/?linkid=870924
Comment:
    I calculated taxes for each products by usin reference value</t>
      </text>
    </comment>
    <comment ref="D12" authorId="6" shapeId="0" xr:uid="{BD620052-A542-C54C-BAED-EC27D54FD7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calculated these values by using formulas </t>
      </text>
    </comment>
  </commentList>
</comments>
</file>

<file path=xl/sharedStrings.xml><?xml version="1.0" encoding="utf-8"?>
<sst xmlns="http://schemas.openxmlformats.org/spreadsheetml/2006/main" count="24" uniqueCount="24">
  <si>
    <t>Kenan's Coffee Yearly Report</t>
  </si>
  <si>
    <t>Items</t>
  </si>
  <si>
    <t>Price</t>
  </si>
  <si>
    <t>QTR.1</t>
  </si>
  <si>
    <t>QTR.2</t>
  </si>
  <si>
    <t>QTR.3</t>
  </si>
  <si>
    <t>QTR.4</t>
  </si>
  <si>
    <t>Original Coffee</t>
  </si>
  <si>
    <t>Espresso</t>
  </si>
  <si>
    <t>Latte</t>
  </si>
  <si>
    <t>Blueberry Muffin</t>
  </si>
  <si>
    <t>Breakfast Sandwich</t>
  </si>
  <si>
    <t>Croissant</t>
  </si>
  <si>
    <t>Total Item Sold</t>
  </si>
  <si>
    <t xml:space="preserve">Total Sales </t>
  </si>
  <si>
    <t>Total Items Sold</t>
  </si>
  <si>
    <t>Average Items Sold</t>
  </si>
  <si>
    <t>Maximum Items Sold</t>
  </si>
  <si>
    <t>Minimum Items Sold</t>
  </si>
  <si>
    <t>Taxes</t>
  </si>
  <si>
    <t>Dates</t>
  </si>
  <si>
    <t>Notes</t>
  </si>
  <si>
    <t>Tax Rate</t>
  </si>
  <si>
    <t>Order Extra For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</si>
</sst>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0"/>
      <color rgb="FF000000"/>
      <name val="Tahoma"/>
      <family val="2"/>
    </font>
    <font>
      <sz val="12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2" borderId="1" applyNumberFormat="0" applyFont="0" applyAlignment="0" applyProtection="0"/>
  </cellStyleXfs>
  <cellXfs count="14">
    <xf numFmtId="0" fontId="0" fillId="0" borderId="0" xfId="0"/>
    <xf numFmtId="0" fontId="3" fillId="0" borderId="0" xfId="2"/>
    <xf numFmtId="0" fontId="2" fillId="0" borderId="0" xfId="1"/>
    <xf numFmtId="0" fontId="0" fillId="2" borderId="1" xfId="3" applyFont="1"/>
    <xf numFmtId="14" fontId="0" fillId="2" borderId="1" xfId="3" applyNumberFormat="1" applyFont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0" fontId="4" fillId="2" borderId="1" xfId="3" applyFont="1"/>
    <xf numFmtId="0" fontId="0" fillId="5" borderId="0" xfId="0" applyFill="1"/>
    <xf numFmtId="166" fontId="0" fillId="5" borderId="0" xfId="0" applyNumberFormat="1" applyFill="1"/>
    <xf numFmtId="164" fontId="0" fillId="5" borderId="0" xfId="0" applyNumberFormat="1" applyFill="1"/>
    <xf numFmtId="0" fontId="6" fillId="5" borderId="0" xfId="0" applyFont="1" applyFill="1" applyAlignment="1"/>
    <xf numFmtId="1" fontId="6" fillId="5" borderId="0" xfId="0" applyNumberFormat="1" applyFont="1" applyFill="1"/>
  </cellXfs>
  <cellStyles count="4">
    <cellStyle name="Heading 4" xfId="2" builtinId="19"/>
    <cellStyle name="Normal" xfId="0" builtinId="0"/>
    <cellStyle name="Note" xfId="3" builtinId="1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nan Kurt" id="{90BBDE5F-B5D2-E649-BA96-7FDB2E291AF1}" userId="88831c1d659e205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0-13T11:13:00.23" personId="{90BBDE5F-B5D2-E649-BA96-7FDB2E291AF1}" id="{09978D31-963A-0A4A-B9AB-EF6FAA3A92B6}">
    <text xml:space="preserve">I created Kenan's Coffee </text>
  </threadedComment>
  <threadedComment ref="L1" dT="2025-10-13T11:24:31.06" personId="{90BBDE5F-B5D2-E649-BA96-7FDB2E291AF1}" id="{BC7207E8-0A04-5140-B3E9-C7D4BB155FE2}">
    <text>I put a tax rate as 7.25$</text>
  </threadedComment>
  <threadedComment ref="D3" dT="2025-10-13T11:25:52.78" personId="{90BBDE5F-B5D2-E649-BA96-7FDB2E291AF1}" id="{7930A29B-796E-2245-96BD-CD156D8F96CC}">
    <text>I put some products</text>
  </threadedComment>
  <threadedComment ref="E3" dT="2025-10-13T11:26:38.17" personId="{90BBDE5F-B5D2-E649-BA96-7FDB2E291AF1}" id="{66C562E2-9FF5-D64B-8A56-367B70C0CF18}">
    <text>I set prices for products</text>
  </threadedComment>
  <threadedComment ref="J3" dT="2025-10-13T11:27:02.63" personId="{90BBDE5F-B5D2-E649-BA96-7FDB2E291AF1}" id="{E53BD33A-D26D-F74B-A155-B15205A2B826}">
    <text>I calculated total item sold by using formula</text>
  </threadedComment>
  <threadedComment ref="L3" dT="2025-10-13T11:25:11.03" personId="{90BBDE5F-B5D2-E649-BA96-7FDB2E291AF1}" id="{9688CCE0-91D6-C24E-86C7-7D19B30C6A04}">
    <text>I calculated taxes for each products by usin reference value</text>
  </threadedComment>
  <threadedComment ref="D12" dT="2025-10-13T11:25:38.84" personId="{90BBDE5F-B5D2-E649-BA96-7FDB2E291AF1}" id="{BD620052-A542-C54C-BAED-EC27D54FD712}">
    <text xml:space="preserve">I calculated these values by using formulas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9F9C-4FB9-254A-8D53-CD50EC93512F}">
  <dimension ref="A1:L15"/>
  <sheetViews>
    <sheetView tabSelected="1" zoomScale="165" workbookViewId="0">
      <selection activeCell="F20" sqref="F20"/>
    </sheetView>
  </sheetViews>
  <sheetFormatPr baseColWidth="10" defaultRowHeight="16" x14ac:dyDescent="0.2"/>
  <cols>
    <col min="2" max="2" width="20.83203125" bestFit="1" customWidth="1"/>
    <col min="4" max="4" width="27.33203125" customWidth="1"/>
    <col min="5" max="5" width="10" customWidth="1"/>
    <col min="6" max="6" width="10.5" customWidth="1"/>
    <col min="7" max="9" width="6" bestFit="1" customWidth="1"/>
    <col min="10" max="10" width="12" customWidth="1"/>
    <col min="11" max="11" width="9.83203125" bestFit="1" customWidth="1"/>
  </cols>
  <sheetData>
    <row r="1" spans="1:12" ht="24" x14ac:dyDescent="0.3">
      <c r="D1" s="2" t="s">
        <v>0</v>
      </c>
      <c r="K1" s="8" t="s">
        <v>22</v>
      </c>
      <c r="L1" s="8">
        <v>7.25</v>
      </c>
    </row>
    <row r="3" spans="1:12" x14ac:dyDescent="0.2">
      <c r="A3" s="3" t="s">
        <v>20</v>
      </c>
      <c r="B3" s="3" t="s">
        <v>21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13</v>
      </c>
      <c r="K3" s="1" t="s">
        <v>14</v>
      </c>
      <c r="L3" s="1" t="s">
        <v>19</v>
      </c>
    </row>
    <row r="4" spans="1:12" x14ac:dyDescent="0.2">
      <c r="A4" s="4">
        <v>45917</v>
      </c>
      <c r="B4" s="3" t="s">
        <v>23</v>
      </c>
      <c r="D4" s="5" t="s">
        <v>7</v>
      </c>
      <c r="E4" s="6">
        <v>1.75</v>
      </c>
      <c r="F4" s="7">
        <v>453</v>
      </c>
      <c r="G4" s="7">
        <v>563</v>
      </c>
      <c r="H4" s="7">
        <v>1253</v>
      </c>
      <c r="I4" s="7">
        <v>1515</v>
      </c>
      <c r="J4" s="9">
        <f>SUM(F4:I4)</f>
        <v>3784</v>
      </c>
      <c r="K4" s="10">
        <f>E4*J4</f>
        <v>6622</v>
      </c>
      <c r="L4" s="11">
        <f>$L$1*K4</f>
        <v>48009.5</v>
      </c>
    </row>
    <row r="5" spans="1:12" x14ac:dyDescent="0.2">
      <c r="A5" s="4">
        <v>45918</v>
      </c>
      <c r="B5" s="3"/>
      <c r="D5" s="5" t="s">
        <v>8</v>
      </c>
      <c r="E5" s="6">
        <v>2</v>
      </c>
      <c r="F5" s="7">
        <v>288</v>
      </c>
      <c r="G5" s="7">
        <v>432</v>
      </c>
      <c r="H5" s="7">
        <v>625</v>
      </c>
      <c r="I5" s="7">
        <v>1127</v>
      </c>
      <c r="J5" s="9">
        <f t="shared" ref="J5:J9" si="0">SUM(F5:I5)</f>
        <v>2472</v>
      </c>
      <c r="K5" s="10">
        <f>E5*J5</f>
        <v>4944</v>
      </c>
      <c r="L5" s="11">
        <f>$L$1*K5</f>
        <v>35844</v>
      </c>
    </row>
    <row r="6" spans="1:12" x14ac:dyDescent="0.2">
      <c r="A6" s="4">
        <v>45919</v>
      </c>
      <c r="B6" s="3"/>
      <c r="D6" s="5" t="s">
        <v>9</v>
      </c>
      <c r="E6" s="6">
        <v>3.25</v>
      </c>
      <c r="F6" s="7">
        <v>511</v>
      </c>
      <c r="G6" s="7">
        <v>1067</v>
      </c>
      <c r="H6" s="7">
        <v>518</v>
      </c>
      <c r="I6" s="7">
        <v>636</v>
      </c>
      <c r="J6" s="9">
        <f t="shared" si="0"/>
        <v>2732</v>
      </c>
      <c r="K6" s="10">
        <f>E6*J6</f>
        <v>8879</v>
      </c>
      <c r="L6" s="11">
        <f>$L$1*K6</f>
        <v>64372.75</v>
      </c>
    </row>
    <row r="7" spans="1:12" x14ac:dyDescent="0.2">
      <c r="A7" s="4">
        <v>45920</v>
      </c>
      <c r="B7" s="3"/>
      <c r="D7" s="5" t="s">
        <v>10</v>
      </c>
      <c r="E7" s="6">
        <v>1.5</v>
      </c>
      <c r="F7" s="7">
        <v>658</v>
      </c>
      <c r="G7" s="7">
        <v>825</v>
      </c>
      <c r="H7" s="7">
        <v>1096</v>
      </c>
      <c r="I7" s="7">
        <v>1201</v>
      </c>
      <c r="J7" s="9">
        <f t="shared" si="0"/>
        <v>3780</v>
      </c>
      <c r="K7" s="10">
        <f>E7*J7</f>
        <v>5670</v>
      </c>
      <c r="L7" s="11">
        <f>$L$1*K7</f>
        <v>41107.5</v>
      </c>
    </row>
    <row r="8" spans="1:12" x14ac:dyDescent="0.2">
      <c r="A8" s="4">
        <v>45921</v>
      </c>
      <c r="B8" s="3"/>
      <c r="D8" s="5" t="s">
        <v>11</v>
      </c>
      <c r="E8" s="6">
        <v>3</v>
      </c>
      <c r="F8" s="7">
        <v>346</v>
      </c>
      <c r="G8" s="7">
        <v>453</v>
      </c>
      <c r="H8" s="7">
        <v>705</v>
      </c>
      <c r="I8" s="7">
        <v>1419</v>
      </c>
      <c r="J8" s="9">
        <f t="shared" si="0"/>
        <v>2923</v>
      </c>
      <c r="K8" s="10">
        <f>E8*J8</f>
        <v>8769</v>
      </c>
      <c r="L8" s="11">
        <f>$L$1*K8</f>
        <v>63575.25</v>
      </c>
    </row>
    <row r="9" spans="1:12" x14ac:dyDescent="0.2">
      <c r="A9" s="4">
        <v>45922</v>
      </c>
      <c r="B9" s="3"/>
      <c r="D9" s="5" t="s">
        <v>12</v>
      </c>
      <c r="E9" s="6">
        <v>1</v>
      </c>
      <c r="F9" s="7">
        <v>118</v>
      </c>
      <c r="G9" s="7">
        <v>392</v>
      </c>
      <c r="H9" s="7">
        <v>879</v>
      </c>
      <c r="I9" s="7">
        <v>939</v>
      </c>
      <c r="J9" s="9">
        <f t="shared" si="0"/>
        <v>2328</v>
      </c>
      <c r="K9" s="10">
        <f>E9*J9</f>
        <v>2328</v>
      </c>
      <c r="L9" s="11">
        <f>$L$1*K9</f>
        <v>16878</v>
      </c>
    </row>
    <row r="10" spans="1:12" x14ac:dyDescent="0.2">
      <c r="A10" s="4">
        <v>45923</v>
      </c>
      <c r="B10" s="3"/>
    </row>
    <row r="11" spans="1:12" x14ac:dyDescent="0.2">
      <c r="A11" s="4">
        <v>45924</v>
      </c>
      <c r="B11" s="3"/>
    </row>
    <row r="12" spans="1:12" x14ac:dyDescent="0.2">
      <c r="A12" s="4">
        <v>45925</v>
      </c>
      <c r="B12" s="3"/>
      <c r="D12" s="12" t="s">
        <v>15</v>
      </c>
      <c r="E12" s="12"/>
      <c r="F12" s="13">
        <f>SUM(F4:F9)</f>
        <v>2374</v>
      </c>
      <c r="G12" s="13">
        <f>SUM(G4:G9)</f>
        <v>3732</v>
      </c>
      <c r="H12" s="13">
        <f>SUM(H4:H9)</f>
        <v>5076</v>
      </c>
      <c r="I12" s="13">
        <f>SUM(I4:I9)</f>
        <v>6837</v>
      </c>
    </row>
    <row r="13" spans="1:12" x14ac:dyDescent="0.2">
      <c r="A13" s="4">
        <v>45926</v>
      </c>
      <c r="B13" s="3"/>
      <c r="D13" s="12" t="s">
        <v>16</v>
      </c>
      <c r="E13" s="12"/>
      <c r="F13" s="13">
        <f>AVERAGE(F4:F9)</f>
        <v>395.66666666666669</v>
      </c>
      <c r="G13" s="13">
        <f>AVERAGE(G4:G9)</f>
        <v>622</v>
      </c>
      <c r="H13" s="13">
        <f>AVERAGE(H4:H9)</f>
        <v>846</v>
      </c>
      <c r="I13" s="13">
        <f>AVERAGE(I4:I9)</f>
        <v>1139.5</v>
      </c>
    </row>
    <row r="14" spans="1:12" x14ac:dyDescent="0.2">
      <c r="A14" s="4">
        <v>45927</v>
      </c>
      <c r="B14" s="3"/>
      <c r="D14" s="12" t="s">
        <v>17</v>
      </c>
      <c r="E14" s="12"/>
      <c r="F14" s="13">
        <f>MAX(F4:F9)</f>
        <v>658</v>
      </c>
      <c r="G14" s="13">
        <f>MAX(G4:G9)</f>
        <v>1067</v>
      </c>
      <c r="H14" s="13">
        <f>MAX(H4:H9)</f>
        <v>1253</v>
      </c>
      <c r="I14" s="13">
        <f>MAX(I4:I9)</f>
        <v>1515</v>
      </c>
    </row>
    <row r="15" spans="1:12" x14ac:dyDescent="0.2">
      <c r="A15" s="4">
        <v>45928</v>
      </c>
      <c r="B15" s="3"/>
      <c r="D15" s="12" t="s">
        <v>18</v>
      </c>
      <c r="E15" s="12"/>
      <c r="F15" s="13">
        <f>MIN(F4:F9)</f>
        <v>118</v>
      </c>
      <c r="G15" s="13">
        <f>MIN(G4:G9)</f>
        <v>392</v>
      </c>
      <c r="H15" s="13">
        <f>MIN(H4:H9)</f>
        <v>518</v>
      </c>
      <c r="I15" s="13">
        <f>MIN(I4:I9)</f>
        <v>636</v>
      </c>
    </row>
  </sheetData>
  <pageMargins left="0.7" right="0.7" top="0.75" bottom="0.75" header="0.3" footer="0.3"/>
  <ignoredErrors>
    <ignoredError sqref="J4 J5:J9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Kenan Kurt</dc:creator>
  <cp:lastModifiedBy>Kenan Kurt</cp:lastModifiedBy>
  <dcterms:created xsi:type="dcterms:W3CDTF">2025-10-13T11:03:00Z</dcterms:created>
  <dcterms:modified xsi:type="dcterms:W3CDTF">2025-10-13T11:41:36Z</dcterms:modified>
</cp:coreProperties>
</file>